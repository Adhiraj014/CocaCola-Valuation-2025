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esktop\"/>
    </mc:Choice>
  </mc:AlternateContent>
  <xr:revisionPtr revIDLastSave="0" documentId="8_{D36A5523-2ED6-439A-8492-B00CF2D8A72C}" xr6:coauthVersionLast="47" xr6:coauthVersionMax="47" xr10:uidLastSave="{00000000-0000-0000-0000-000000000000}"/>
  <bookViews>
    <workbookView xWindow="-108" yWindow="-108" windowWidth="23256" windowHeight="13176" activeTab="6" xr2:uid="{00000000-000D-0000-FFFF-FFFF00000000}"/>
  </bookViews>
  <sheets>
    <sheet name="Inputs" sheetId="1" r:id="rId1"/>
    <sheet name="Historical" sheetId="2" r:id="rId2"/>
    <sheet name="Projections" sheetId="3" r:id="rId3"/>
    <sheet name="DCF" sheetId="4" r:id="rId4"/>
    <sheet name="Sensitivity" sheetId="5" r:id="rId5"/>
    <sheet name="Comps" sheetId="6" r:id="rId6"/>
    <sheet name="Summary" sheetId="7" r:id="rId7"/>
  </sheets>
  <calcPr calcId="191029"/>
</workbook>
</file>

<file path=xl/calcChain.xml><?xml version="1.0" encoding="utf-8"?>
<calcChain xmlns="http://schemas.openxmlformats.org/spreadsheetml/2006/main">
  <c r="C70" i="7" l="1"/>
  <c r="C69" i="7"/>
  <c r="C18" i="7"/>
  <c r="C16" i="7"/>
  <c r="C15" i="7"/>
  <c r="C12" i="7"/>
  <c r="C11" i="7"/>
  <c r="C10" i="7"/>
  <c r="C6" i="7"/>
  <c r="C5" i="7"/>
  <c r="C4" i="7"/>
  <c r="C3" i="7"/>
  <c r="C2" i="7"/>
  <c r="H7" i="6"/>
  <c r="G7" i="6"/>
  <c r="F11" i="4"/>
  <c r="F9" i="4"/>
  <c r="F7" i="4"/>
  <c r="F6" i="4"/>
  <c r="F5" i="4"/>
  <c r="C4" i="4"/>
  <c r="D4" i="4"/>
  <c r="E4" i="4"/>
  <c r="F4" i="4"/>
  <c r="B4" i="4"/>
  <c r="F3" i="4"/>
  <c r="E3" i="4"/>
  <c r="D3" i="4"/>
  <c r="C3" i="4"/>
  <c r="B3" i="4"/>
  <c r="C2" i="4"/>
  <c r="D2" i="4"/>
  <c r="E2" i="4"/>
  <c r="F2" i="4"/>
  <c r="B2" i="4"/>
  <c r="F2" i="3"/>
  <c r="F5" i="3" s="1"/>
  <c r="E2" i="3"/>
  <c r="E5" i="3" s="1"/>
  <c r="D2" i="3"/>
  <c r="D8" i="3" s="1"/>
  <c r="C2" i="3"/>
  <c r="C4" i="3" s="1"/>
  <c r="C6" i="3" s="1"/>
  <c r="D4" i="3"/>
  <c r="E4" i="3"/>
  <c r="C5" i="3"/>
  <c r="D5" i="3"/>
  <c r="E8" i="3"/>
  <c r="C9" i="3"/>
  <c r="D9" i="3"/>
  <c r="E9" i="3"/>
  <c r="C10" i="3"/>
  <c r="B11" i="3"/>
  <c r="B10" i="3"/>
  <c r="B9" i="3"/>
  <c r="B8" i="3"/>
  <c r="B7" i="3"/>
  <c r="B6" i="3"/>
  <c r="B5" i="3"/>
  <c r="B4" i="3"/>
  <c r="B2" i="3"/>
  <c r="F9" i="3" l="1"/>
  <c r="F8" i="3"/>
  <c r="F4" i="3"/>
  <c r="F10" i="3"/>
  <c r="E10" i="3"/>
  <c r="D10" i="3"/>
  <c r="C8" i="3"/>
  <c r="C11" i="3"/>
  <c r="C7" i="3"/>
  <c r="F6" i="3"/>
  <c r="F7" i="3" s="1"/>
  <c r="E6" i="3"/>
  <c r="D6" i="3"/>
  <c r="D11" i="3" s="1"/>
  <c r="F11" i="3" l="1"/>
  <c r="E11" i="3"/>
  <c r="E7" i="3"/>
  <c r="D7" i="3"/>
</calcChain>
</file>

<file path=xl/sharedStrings.xml><?xml version="1.0" encoding="utf-8"?>
<sst xmlns="http://schemas.openxmlformats.org/spreadsheetml/2006/main" count="134" uniqueCount="116">
  <si>
    <t>Assumption</t>
  </si>
  <si>
    <t>Value</t>
  </si>
  <si>
    <t>Notes</t>
  </si>
  <si>
    <t>Metric</t>
  </si>
  <si>
    <t>2019</t>
  </si>
  <si>
    <t>2020</t>
  </si>
  <si>
    <t>2021</t>
  </si>
  <si>
    <t>2022</t>
  </si>
  <si>
    <t>2023</t>
  </si>
  <si>
    <t>Revenue</t>
  </si>
  <si>
    <t>COGS</t>
  </si>
  <si>
    <t>Gross Profit</t>
  </si>
  <si>
    <t>Operating Expenses</t>
  </si>
  <si>
    <t>EBIT</t>
  </si>
  <si>
    <t>Depreciation &amp; Amortization</t>
  </si>
  <si>
    <t>CapEx</t>
  </si>
  <si>
    <t>Change in Working Capital</t>
  </si>
  <si>
    <t>Tax Expense</t>
  </si>
  <si>
    <t>Net Income</t>
  </si>
  <si>
    <t>FCFF</t>
  </si>
  <si>
    <t>2024E</t>
  </si>
  <si>
    <t>2025E</t>
  </si>
  <si>
    <t>2026E</t>
  </si>
  <si>
    <t>2027E</t>
  </si>
  <si>
    <t>2028E</t>
  </si>
  <si>
    <t>% Growth</t>
  </si>
  <si>
    <t>Tax</t>
  </si>
  <si>
    <t>Depreciation</t>
  </si>
  <si>
    <t>Year</t>
  </si>
  <si>
    <t>Discount Factor</t>
  </si>
  <si>
    <t>Present Value of FCFF</t>
  </si>
  <si>
    <t>Terminal Value</t>
  </si>
  <si>
    <t>Present Value of Terminal Value</t>
  </si>
  <si>
    <t>Enterprise Value</t>
  </si>
  <si>
    <t>Less: Net Debt</t>
  </si>
  <si>
    <t>Equity Value</t>
  </si>
  <si>
    <t>Shares Outstanding</t>
  </si>
  <si>
    <t>Intrinsic Share Price</t>
  </si>
  <si>
    <t>g=1.0%</t>
  </si>
  <si>
    <t>g=1.5%</t>
  </si>
  <si>
    <t>g=2.0%</t>
  </si>
  <si>
    <t>g=2.5%</t>
  </si>
  <si>
    <t>g=3.0%</t>
  </si>
  <si>
    <t>WACC 6.5%</t>
  </si>
  <si>
    <t>WACC 7.0%</t>
  </si>
  <si>
    <t>WACC 7.5%</t>
  </si>
  <si>
    <t>WACC 8.0%</t>
  </si>
  <si>
    <t>WACC 8.5%</t>
  </si>
  <si>
    <t>Company</t>
  </si>
  <si>
    <t>Ticker</t>
  </si>
  <si>
    <t>Market Cap</t>
  </si>
  <si>
    <t>EV</t>
  </si>
  <si>
    <t>EBITDA</t>
  </si>
  <si>
    <t>EV/EBITDA</t>
  </si>
  <si>
    <t>P/E</t>
  </si>
  <si>
    <t>Charts</t>
  </si>
  <si>
    <t>Investment Thesis</t>
  </si>
  <si>
    <t>Risks</t>
  </si>
  <si>
    <t>Final Recommendation</t>
  </si>
  <si>
    <t>Risk-free rate</t>
  </si>
  <si>
    <t>US 10-year Treasury</t>
  </si>
  <si>
    <t>Market risk premium</t>
  </si>
  <si>
    <t>Standard US equity premium</t>
  </si>
  <si>
    <t>Beta</t>
  </si>
  <si>
    <t>From Yahoo Finance (approx.)</t>
  </si>
  <si>
    <t>Cost of debt (pre-tax)</t>
  </si>
  <si>
    <t>Approx. from KO filings</t>
  </si>
  <si>
    <t>Tax rate</t>
  </si>
  <si>
    <t>US corporate tax</t>
  </si>
  <si>
    <t>Terminal growth</t>
  </si>
  <si>
    <t>Mature beverage company</t>
  </si>
  <si>
    <t>WACC</t>
  </si>
  <si>
    <t>OPEX</t>
  </si>
  <si>
    <t>GP</t>
  </si>
  <si>
    <t>DEPRECIATION</t>
  </si>
  <si>
    <t>CAPEX</t>
  </si>
  <si>
    <t>WC</t>
  </si>
  <si>
    <t>PEP</t>
  </si>
  <si>
    <t>Keurig Dr Pepper</t>
  </si>
  <si>
    <t>KDP</t>
  </si>
  <si>
    <t>Monster Beverage</t>
  </si>
  <si>
    <t>MNST</t>
  </si>
  <si>
    <t>Celsius Holdings</t>
  </si>
  <si>
    <t>CELH</t>
  </si>
  <si>
    <t>PepsiCo</t>
  </si>
  <si>
    <t>Coca-Cola Femsa</t>
  </si>
  <si>
    <t>KOF</t>
  </si>
  <si>
    <t>DCF valuation</t>
  </si>
  <si>
    <t xml:space="preserve">Valuation Output  </t>
  </si>
  <si>
    <t>Enterprise Value:</t>
  </si>
  <si>
    <t>Final Target Price:</t>
  </si>
  <si>
    <t>Implied Share Price (P/E):</t>
  </si>
  <si>
    <t>Implied Equity Value:</t>
  </si>
  <si>
    <t>P/E Median:</t>
  </si>
  <si>
    <t>Implied Share Price (EV/EBITDA):</t>
  </si>
  <si>
    <t>Implied EV:</t>
  </si>
  <si>
    <t>EV/EBITDA Median:</t>
  </si>
  <si>
    <t>Comps Valuation</t>
  </si>
  <si>
    <t>Intrinsic Share Price (DCF):</t>
  </si>
  <si>
    <t>Shares Outstanding:</t>
  </si>
  <si>
    <t>Equity Value:</t>
  </si>
  <si>
    <t>Net Debt:</t>
  </si>
  <si>
    <t>Revenue Chart</t>
  </si>
  <si>
    <t>FCFF Chart</t>
  </si>
  <si>
    <t>Years</t>
  </si>
  <si>
    <t>Valuation comparison chart</t>
  </si>
  <si>
    <t xml:space="preserve">P/E Price             </t>
  </si>
  <si>
    <t xml:space="preserve">EV/EBITDA Price       </t>
  </si>
  <si>
    <t xml:space="preserve">DCF Price             </t>
  </si>
  <si>
    <t xml:space="preserve">Method                </t>
  </si>
  <si>
    <t>Value Breakdown</t>
  </si>
  <si>
    <t>PV of FCFF</t>
  </si>
  <si>
    <t>PV of Terminal Value</t>
  </si>
  <si>
    <t>Coca-Cola is a resilient global leader in the non-alcoholic beverage sector with unmatched brand equity, extensive global distribution, and consistent pricing power. The business delivers stable free cash flows due to its asset-light bottling strategy and strong operating margins. KO has proven ability to pass on cost inflation, maintain volume through economic cycles, and expand margins through disciplined cost management. While growth is moderate, the company remains one of the strongest defensive compounders in the market.</t>
  </si>
  <si>
    <t>Coca-Cola’s growth is slowing in developed markets. More people are becoming health-conscious, which affects sugary drinks. The company earns a lot from outside the US, so currency changes can impact results. Costs of raw materials like sugar and aluminum can rise unexpectedly. Strong competition from PepsiCo and newer energy drink brands.</t>
  </si>
  <si>
    <t>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</si>
</sst>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0" xfId="0" applyAlignment="1">
      <alignment horizontal="left"/>
    </xf>
    <xf numFmtId="3" fontId="0" fillId="0" borderId="0" xfId="0" applyNumberFormat="1"/>
    <xf numFmtId="0" fontId="0" fillId="0" borderId="0" xfId="0" applyAlignment="1">
      <alignment vertical="center" wrapText="1"/>
    </xf>
    <xf numFmtId="3" fontId="0" fillId="0" borderId="0" xfId="0" applyNumberFormat="1" applyAlignment="1">
      <alignment vertical="center" wrapText="1"/>
    </xf>
    <xf numFmtId="3" fontId="0" fillId="0" borderId="0" xfId="0" applyNumberFormat="1" applyAlignment="1">
      <alignment horizontal="center"/>
    </xf>
    <xf numFmtId="3" fontId="0" fillId="0" borderId="0" xfId="0" applyNumberFormat="1" applyAlignment="1">
      <alignment horizontal="center" vertical="center" wrapText="1"/>
    </xf>
    <xf numFmtId="0" fontId="1" fillId="0" borderId="0" xfId="0" applyFont="1" applyAlignment="1">
      <alignment horizontal="center"/>
    </xf>
    <xf numFmtId="9" fontId="0" fillId="0" borderId="0" xfId="0" applyNumberFormat="1"/>
    <xf numFmtId="10" fontId="0" fillId="0" borderId="0" xfId="0" applyNumberFormat="1"/>
    <xf numFmtId="10" fontId="0" fillId="0" borderId="0" xfId="0" applyNumberFormat="1" applyAlignment="1">
      <alignment vertical="center" wrapText="1"/>
    </xf>
    <xf numFmtId="10" fontId="0" fillId="0" borderId="0" xfId="0" applyNumberFormat="1" applyFont="1" applyAlignment="1">
      <alignment vertical="center" wrapText="1"/>
    </xf>
    <xf numFmtId="9" fontId="0" fillId="0" borderId="0" xfId="0" applyNumberFormat="1" applyAlignment="1">
      <alignment vertical="center" wrapText="1"/>
    </xf>
    <xf numFmtId="0" fontId="2" fillId="0" borderId="0" xfId="0" applyFont="1" applyAlignment="1">
      <alignment horizontal="center"/>
    </xf>
    <xf numFmtId="2" fontId="0" fillId="0" borderId="0" xfId="0" applyNumberFormat="1"/>
    <xf numFmtId="1" fontId="0" fillId="0" borderId="0" xfId="0" applyNumberFormat="1"/>
    <xf numFmtId="0" fontId="1"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1" fillId="0" borderId="0" xfId="0" applyFont="1"/>
    <xf numFmtId="0" fontId="0" fillId="0" borderId="0" xfId="0" applyAlignment="1">
      <alignment horizontal="right" vertical="center" wrapText="1"/>
    </xf>
    <xf numFmtId="2" fontId="0" fillId="0" borderId="0" xfId="0" applyNumberFormat="1" applyAlignment="1">
      <alignment horizontal="right" vertical="center" wrapText="1"/>
    </xf>
    <xf numFmtId="0" fontId="0" fillId="0" borderId="0" xfId="0" applyAlignment="1"/>
    <xf numFmtId="0" fontId="1" fillId="0" borderId="0" xfId="0" applyFont="1" applyAlignment="1"/>
    <xf numFmtId="0" fontId="0" fillId="0" borderId="0" xfId="0"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Projections!$A$2</c:f>
              <c:strCache>
                <c:ptCount val="1"/>
                <c:pt idx="0">
                  <c:v>Revenue</c:v>
                </c:pt>
              </c:strCache>
            </c:strRef>
          </c:tx>
          <c:spPr>
            <a:ln w="28575" cap="rnd">
              <a:solidFill>
                <a:schemeClr val="accent1"/>
              </a:solidFill>
              <a:round/>
            </a:ln>
            <a:effectLst/>
          </c:spPr>
          <c:marker>
            <c:symbol val="none"/>
          </c:marker>
          <c:cat>
            <c:strRef>
              <c:f>Projections!$B$1:$F$1</c:f>
              <c:strCache>
                <c:ptCount val="5"/>
                <c:pt idx="0">
                  <c:v>2024E</c:v>
                </c:pt>
                <c:pt idx="1">
                  <c:v>2025E</c:v>
                </c:pt>
                <c:pt idx="2">
                  <c:v>2026E</c:v>
                </c:pt>
                <c:pt idx="3">
                  <c:v>2027E</c:v>
                </c:pt>
                <c:pt idx="4">
                  <c:v>2028E</c:v>
                </c:pt>
              </c:strCache>
            </c:strRef>
          </c:cat>
          <c:val>
            <c:numRef>
              <c:f>Projections!$B$2:$F$2</c:f>
              <c:numCache>
                <c:formatCode>0.00</c:formatCode>
                <c:ptCount val="5"/>
                <c:pt idx="0">
                  <c:v>48041.700000000004</c:v>
                </c:pt>
                <c:pt idx="1">
                  <c:v>49963.368000000009</c:v>
                </c:pt>
                <c:pt idx="2">
                  <c:v>51712.085880000006</c:v>
                </c:pt>
                <c:pt idx="3">
                  <c:v>53263.448456400009</c:v>
                </c:pt>
                <c:pt idx="4">
                  <c:v>54595.034667810003</c:v>
                </c:pt>
              </c:numCache>
            </c:numRef>
          </c:val>
          <c:smooth val="0"/>
          <c:extLst>
            <c:ext xmlns:c16="http://schemas.microsoft.com/office/drawing/2014/chart" uri="{C3380CC4-5D6E-409C-BE32-E72D297353CC}">
              <c16:uniqueId val="{00000000-267F-43D6-886E-FD1D57AD4AA6}"/>
            </c:ext>
          </c:extLst>
        </c:ser>
        <c:dLbls>
          <c:showLegendKey val="0"/>
          <c:showVal val="0"/>
          <c:showCatName val="0"/>
          <c:showSerName val="0"/>
          <c:showPercent val="0"/>
          <c:showBubbleSize val="0"/>
        </c:dLbls>
        <c:smooth val="0"/>
        <c:axId val="850387504"/>
        <c:axId val="850387024"/>
      </c:lineChart>
      <c:catAx>
        <c:axId val="85038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87024"/>
        <c:crosses val="autoZero"/>
        <c:auto val="1"/>
        <c:lblAlgn val="ctr"/>
        <c:lblOffset val="100"/>
        <c:noMultiLvlLbl val="0"/>
      </c:catAx>
      <c:valAx>
        <c:axId val="850387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8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Projections!$A$11</c:f>
              <c:strCache>
                <c:ptCount val="1"/>
                <c:pt idx="0">
                  <c:v>FCFF</c:v>
                </c:pt>
              </c:strCache>
            </c:strRef>
          </c:tx>
          <c:spPr>
            <a:ln w="28575" cap="rnd">
              <a:solidFill>
                <a:schemeClr val="accent1"/>
              </a:solidFill>
              <a:round/>
            </a:ln>
            <a:effectLst/>
          </c:spPr>
          <c:marker>
            <c:symbol val="none"/>
          </c:marker>
          <c:cat>
            <c:strRef>
              <c:f>Projections!$B$1:$F$1</c:f>
              <c:strCache>
                <c:ptCount val="5"/>
                <c:pt idx="0">
                  <c:v>2024E</c:v>
                </c:pt>
                <c:pt idx="1">
                  <c:v>2025E</c:v>
                </c:pt>
                <c:pt idx="2">
                  <c:v>2026E</c:v>
                </c:pt>
                <c:pt idx="3">
                  <c:v>2027E</c:v>
                </c:pt>
                <c:pt idx="4">
                  <c:v>2028E</c:v>
                </c:pt>
              </c:strCache>
            </c:strRef>
          </c:cat>
          <c:val>
            <c:numRef>
              <c:f>Projections!$B$11:$F$11</c:f>
              <c:numCache>
                <c:formatCode>General</c:formatCode>
                <c:ptCount val="5"/>
                <c:pt idx="0">
                  <c:v>10487.503110000001</c:v>
                </c:pt>
                <c:pt idx="1">
                  <c:v>10907.003234400006</c:v>
                </c:pt>
                <c:pt idx="2">
                  <c:v>11288.748347604003</c:v>
                </c:pt>
                <c:pt idx="3">
                  <c:v>11627.410798032122</c:v>
                </c:pt>
                <c:pt idx="4">
                  <c:v>11918.096067982926</c:v>
                </c:pt>
              </c:numCache>
            </c:numRef>
          </c:val>
          <c:smooth val="0"/>
          <c:extLst>
            <c:ext xmlns:c16="http://schemas.microsoft.com/office/drawing/2014/chart" uri="{C3380CC4-5D6E-409C-BE32-E72D297353CC}">
              <c16:uniqueId val="{00000000-2EF7-45D2-B226-ED9D99054080}"/>
            </c:ext>
          </c:extLst>
        </c:ser>
        <c:dLbls>
          <c:showLegendKey val="0"/>
          <c:showVal val="0"/>
          <c:showCatName val="0"/>
          <c:showSerName val="0"/>
          <c:showPercent val="0"/>
          <c:showBubbleSize val="0"/>
        </c:dLbls>
        <c:smooth val="0"/>
        <c:axId val="855693968"/>
        <c:axId val="855695408"/>
      </c:lineChart>
      <c:catAx>
        <c:axId val="85569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95408"/>
        <c:crosses val="autoZero"/>
        <c:auto val="1"/>
        <c:lblAlgn val="ctr"/>
        <c:lblOffset val="100"/>
        <c:noMultiLvlLbl val="0"/>
      </c:catAx>
      <c:valAx>
        <c:axId val="85569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9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Summary!$C$54</c:f>
              <c:strCache>
                <c:ptCount val="1"/>
                <c:pt idx="0">
                  <c:v>Value</c:v>
                </c:pt>
              </c:strCache>
            </c:strRef>
          </c:tx>
          <c:spPr>
            <a:solidFill>
              <a:schemeClr val="accent1"/>
            </a:solidFill>
            <a:ln>
              <a:noFill/>
            </a:ln>
            <a:effectLst/>
          </c:spPr>
          <c:invertIfNegative val="0"/>
          <c:cat>
            <c:strRef>
              <c:f>Summary!$B$55:$B$57</c:f>
              <c:strCache>
                <c:ptCount val="3"/>
                <c:pt idx="0">
                  <c:v>DCF Price             </c:v>
                </c:pt>
                <c:pt idx="1">
                  <c:v>EV/EBITDA Price       </c:v>
                </c:pt>
                <c:pt idx="2">
                  <c:v>P/E Price             </c:v>
                </c:pt>
              </c:strCache>
            </c:strRef>
          </c:cat>
          <c:val>
            <c:numRef>
              <c:f>Summary!$C$55:$C$57</c:f>
              <c:numCache>
                <c:formatCode>General</c:formatCode>
                <c:ptCount val="3"/>
                <c:pt idx="0">
                  <c:v>54.698</c:v>
                </c:pt>
                <c:pt idx="1">
                  <c:v>47.140999999999998</c:v>
                </c:pt>
                <c:pt idx="2">
                  <c:v>55.555999999999997</c:v>
                </c:pt>
              </c:numCache>
            </c:numRef>
          </c:val>
          <c:extLst>
            <c:ext xmlns:c16="http://schemas.microsoft.com/office/drawing/2014/chart" uri="{C3380CC4-5D6E-409C-BE32-E72D297353CC}">
              <c16:uniqueId val="{00000000-91D2-415B-AC5F-15AD2780F4FF}"/>
            </c:ext>
          </c:extLst>
        </c:ser>
        <c:dLbls>
          <c:showLegendKey val="0"/>
          <c:showVal val="0"/>
          <c:showCatName val="0"/>
          <c:showSerName val="0"/>
          <c:showPercent val="0"/>
          <c:showBubbleSize val="0"/>
        </c:dLbls>
        <c:gapWidth val="219"/>
        <c:overlap val="-27"/>
        <c:axId val="197998608"/>
        <c:axId val="120198752"/>
      </c:barChart>
      <c:catAx>
        <c:axId val="19799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8752"/>
        <c:crosses val="autoZero"/>
        <c:auto val="1"/>
        <c:lblAlgn val="ctr"/>
        <c:lblOffset val="100"/>
        <c:noMultiLvlLbl val="0"/>
      </c:catAx>
      <c:valAx>
        <c:axId val="1201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Summary!$B$69:$B$70</c:f>
              <c:strCache>
                <c:ptCount val="2"/>
                <c:pt idx="0">
                  <c:v>PV of FCFF</c:v>
                </c:pt>
                <c:pt idx="1">
                  <c:v>PV of Terminal Value</c:v>
                </c:pt>
              </c:strCache>
            </c:strRef>
          </c:cat>
          <c:val>
            <c:numRef>
              <c:f>Summary!$C$69:$C$70</c:f>
              <c:numCache>
                <c:formatCode>General</c:formatCode>
                <c:ptCount val="2"/>
                <c:pt idx="0">
                  <c:v>47195.208807067356</c:v>
                </c:pt>
                <c:pt idx="1">
                  <c:v>227100.31464097803</c:v>
                </c:pt>
              </c:numCache>
            </c:numRef>
          </c:val>
          <c:extLst>
            <c:ext xmlns:c16="http://schemas.microsoft.com/office/drawing/2014/chart" uri="{C3380CC4-5D6E-409C-BE32-E72D297353CC}">
              <c16:uniqueId val="{00000000-45CD-439D-A27A-CC5B495F871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19</xdr:row>
      <xdr:rowOff>175260</xdr:rowOff>
    </xdr:from>
    <xdr:to>
      <xdr:col>9</xdr:col>
      <xdr:colOff>312420</xdr:colOff>
      <xdr:row>34</xdr:row>
      <xdr:rowOff>175260</xdr:rowOff>
    </xdr:to>
    <xdr:graphicFrame macro="">
      <xdr:nvGraphicFramePr>
        <xdr:cNvPr id="3" name="Chart 2">
          <a:extLst>
            <a:ext uri="{FF2B5EF4-FFF2-40B4-BE49-F238E27FC236}">
              <a16:creationId xmlns:a16="http://schemas.microsoft.com/office/drawing/2014/main" id="{CBD9716B-D986-4526-B0C1-987DA7679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3078480</xdr:colOff>
      <xdr:row>35</xdr:row>
      <xdr:rowOff>152400</xdr:rowOff>
    </xdr:from>
    <xdr:to>
      <xdr:col>9</xdr:col>
      <xdr:colOff>403860</xdr:colOff>
      <xdr:row>49</xdr:row>
      <xdr:rowOff>121920</xdr:rowOff>
    </xdr:to>
    <xdr:graphicFrame macro="">
      <xdr:nvGraphicFramePr>
        <xdr:cNvPr id="4" name="Chart 3">
          <a:extLst>
            <a:ext uri="{FF2B5EF4-FFF2-40B4-BE49-F238E27FC236}">
              <a16:creationId xmlns:a16="http://schemas.microsoft.com/office/drawing/2014/main" id="{D1DF697E-30EF-4F67-A446-586D1DF95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601980</xdr:colOff>
      <xdr:row>50</xdr:row>
      <xdr:rowOff>179070</xdr:rowOff>
    </xdr:from>
    <xdr:to>
      <xdr:col>10</xdr:col>
      <xdr:colOff>297180</xdr:colOff>
      <xdr:row>65</xdr:row>
      <xdr:rowOff>179070</xdr:rowOff>
    </xdr:to>
    <xdr:graphicFrame macro="">
      <xdr:nvGraphicFramePr>
        <xdr:cNvPr id="6" name="Chart 5">
          <a:extLst>
            <a:ext uri="{FF2B5EF4-FFF2-40B4-BE49-F238E27FC236}">
              <a16:creationId xmlns:a16="http://schemas.microsoft.com/office/drawing/2014/main" id="{28B7633D-9E59-FF67-38F0-E5940D07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xdr:colOff>
      <xdr:row>66</xdr:row>
      <xdr:rowOff>171450</xdr:rowOff>
    </xdr:from>
    <xdr:to>
      <xdr:col>10</xdr:col>
      <xdr:colOff>327660</xdr:colOff>
      <xdr:row>81</xdr:row>
      <xdr:rowOff>171450</xdr:rowOff>
    </xdr:to>
    <xdr:graphicFrame macro="">
      <xdr:nvGraphicFramePr>
        <xdr:cNvPr id="7" name="Chart 6">
          <a:extLst>
            <a:ext uri="{FF2B5EF4-FFF2-40B4-BE49-F238E27FC236}">
              <a16:creationId xmlns:a16="http://schemas.microsoft.com/office/drawing/2014/main" id="{642E9AB3-3E51-DEEB-C56B-0A9E721DA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B8" sqref="B8"/>
    </sheetView>
  </sheetViews>
  <sheetFormatPr defaultRowHeight="14.4" x14ac:dyDescent="0.3"/>
  <cols>
    <col min="1" max="1" width="24" customWidth="1"/>
    <col min="2" max="2" width="18.77734375" customWidth="1"/>
    <col min="3" max="3" width="22.21875" customWidth="1"/>
  </cols>
  <sheetData>
    <row r="1" spans="1:3" x14ac:dyDescent="0.3">
      <c r="A1" s="14" t="s">
        <v>0</v>
      </c>
      <c r="B1" s="14" t="s">
        <v>1</v>
      </c>
      <c r="C1" s="14" t="s">
        <v>2</v>
      </c>
    </row>
    <row r="2" spans="1:3" ht="28.8" x14ac:dyDescent="0.3">
      <c r="A2" s="4" t="s">
        <v>59</v>
      </c>
      <c r="B2" s="11">
        <v>0.04</v>
      </c>
      <c r="C2" s="4" t="s">
        <v>60</v>
      </c>
    </row>
    <row r="3" spans="1:3" ht="43.2" x14ac:dyDescent="0.3">
      <c r="A3" s="4" t="s">
        <v>61</v>
      </c>
      <c r="B3" s="11">
        <v>0.06</v>
      </c>
      <c r="C3" s="4" t="s">
        <v>62</v>
      </c>
    </row>
    <row r="4" spans="1:3" ht="43.2" x14ac:dyDescent="0.3">
      <c r="A4" s="4" t="s">
        <v>63</v>
      </c>
      <c r="B4" s="4">
        <v>0.55000000000000004</v>
      </c>
      <c r="C4" s="4" t="s">
        <v>64</v>
      </c>
    </row>
    <row r="5" spans="1:3" ht="43.2" x14ac:dyDescent="0.3">
      <c r="A5" s="4" t="s">
        <v>65</v>
      </c>
      <c r="B5" s="11">
        <v>3.5000000000000003E-2</v>
      </c>
      <c r="C5" s="4" t="s">
        <v>66</v>
      </c>
    </row>
    <row r="6" spans="1:3" ht="43.2" x14ac:dyDescent="0.3">
      <c r="A6" s="4" t="s">
        <v>67</v>
      </c>
      <c r="B6" s="13">
        <v>0.21</v>
      </c>
      <c r="C6" s="4" t="s">
        <v>68</v>
      </c>
    </row>
    <row r="7" spans="1:3" ht="43.2" x14ac:dyDescent="0.3">
      <c r="A7" s="4" t="s">
        <v>69</v>
      </c>
      <c r="B7" s="11">
        <v>0.02</v>
      </c>
      <c r="C7" s="4" t="s">
        <v>70</v>
      </c>
    </row>
    <row r="8" spans="1:3" x14ac:dyDescent="0.3">
      <c r="A8" s="4" t="s">
        <v>71</v>
      </c>
      <c r="B8" s="4"/>
      <c r="C8"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activeCell="F12" sqref="F12"/>
    </sheetView>
  </sheetViews>
  <sheetFormatPr defaultRowHeight="14.4" x14ac:dyDescent="0.3"/>
  <cols>
    <col min="1" max="1" width="30.33203125" customWidth="1"/>
    <col min="2" max="2" width="10.33203125" customWidth="1"/>
    <col min="3" max="3" width="10.88671875" customWidth="1"/>
    <col min="4" max="4" width="11.21875" customWidth="1"/>
    <col min="5" max="5" width="10.33203125" customWidth="1"/>
    <col min="6" max="6" width="10.77734375" customWidth="1"/>
  </cols>
  <sheetData>
    <row r="1" spans="1:6" x14ac:dyDescent="0.3">
      <c r="A1" s="1" t="s">
        <v>3</v>
      </c>
      <c r="B1" s="8" t="s">
        <v>4</v>
      </c>
      <c r="C1" s="8" t="s">
        <v>5</v>
      </c>
      <c r="D1" s="8" t="s">
        <v>6</v>
      </c>
      <c r="E1" s="8" t="s">
        <v>7</v>
      </c>
      <c r="F1" s="8" t="s">
        <v>8</v>
      </c>
    </row>
    <row r="2" spans="1:6" x14ac:dyDescent="0.3">
      <c r="A2" s="2" t="s">
        <v>9</v>
      </c>
      <c r="B2" s="6">
        <v>37266</v>
      </c>
      <c r="C2" s="6">
        <v>33014</v>
      </c>
      <c r="D2" s="7">
        <v>38655</v>
      </c>
      <c r="E2" s="6">
        <v>43004</v>
      </c>
      <c r="F2" s="6">
        <v>45754</v>
      </c>
    </row>
    <row r="3" spans="1:6" x14ac:dyDescent="0.3">
      <c r="A3" s="2" t="s">
        <v>10</v>
      </c>
      <c r="B3" s="3">
        <v>14619</v>
      </c>
      <c r="C3" s="3">
        <v>13433</v>
      </c>
      <c r="D3" s="3">
        <v>15278</v>
      </c>
      <c r="E3" s="3">
        <v>16914</v>
      </c>
      <c r="F3" s="3">
        <v>17528</v>
      </c>
    </row>
    <row r="4" spans="1:6" x14ac:dyDescent="0.3">
      <c r="A4" s="2" t="s">
        <v>11</v>
      </c>
    </row>
    <row r="5" spans="1:6" x14ac:dyDescent="0.3">
      <c r="A5" s="2" t="s">
        <v>12</v>
      </c>
      <c r="B5" s="3">
        <v>15266</v>
      </c>
      <c r="C5" s="3">
        <v>12736</v>
      </c>
      <c r="D5" s="3">
        <v>14723</v>
      </c>
      <c r="E5" s="3">
        <v>15771</v>
      </c>
      <c r="F5" s="3">
        <v>16535</v>
      </c>
    </row>
    <row r="6" spans="1:6" x14ac:dyDescent="0.3">
      <c r="A6" s="2" t="s">
        <v>13</v>
      </c>
      <c r="B6" s="3">
        <v>10087</v>
      </c>
      <c r="C6" s="3">
        <v>9215</v>
      </c>
      <c r="D6" s="3">
        <v>10303</v>
      </c>
      <c r="E6" s="3">
        <v>11054</v>
      </c>
      <c r="F6" s="3">
        <v>11697</v>
      </c>
    </row>
    <row r="7" spans="1:6" x14ac:dyDescent="0.3">
      <c r="A7" s="2" t="s">
        <v>14</v>
      </c>
      <c r="B7" s="3">
        <v>1216</v>
      </c>
      <c r="C7" s="3">
        <v>1234</v>
      </c>
      <c r="D7" s="3">
        <v>1330</v>
      </c>
      <c r="E7" s="3">
        <v>1408</v>
      </c>
      <c r="F7" s="3">
        <v>1466</v>
      </c>
    </row>
    <row r="8" spans="1:6" x14ac:dyDescent="0.3">
      <c r="A8" s="2" t="s">
        <v>15</v>
      </c>
      <c r="B8" s="3">
        <v>1281</v>
      </c>
      <c r="C8" s="3">
        <v>1186</v>
      </c>
      <c r="D8" s="3">
        <v>1330</v>
      </c>
      <c r="E8" s="3">
        <v>1629</v>
      </c>
      <c r="F8" s="3">
        <v>1813</v>
      </c>
    </row>
    <row r="9" spans="1:6" x14ac:dyDescent="0.3">
      <c r="A9" s="2" t="s">
        <v>16</v>
      </c>
      <c r="B9">
        <v>-187</v>
      </c>
      <c r="C9">
        <v>402</v>
      </c>
      <c r="D9" s="3">
        <v>-1025</v>
      </c>
      <c r="E9">
        <v>476</v>
      </c>
      <c r="F9">
        <v>-394</v>
      </c>
    </row>
    <row r="10" spans="1:6" x14ac:dyDescent="0.3">
      <c r="A10" s="2" t="s">
        <v>17</v>
      </c>
      <c r="B10" s="3">
        <v>2199</v>
      </c>
      <c r="C10" s="5">
        <v>1637</v>
      </c>
      <c r="D10" s="3">
        <v>2581</v>
      </c>
      <c r="E10" s="3">
        <v>2871</v>
      </c>
      <c r="F10" s="3">
        <v>2978</v>
      </c>
    </row>
    <row r="11" spans="1:6" x14ac:dyDescent="0.3">
      <c r="A11" s="2" t="s">
        <v>18</v>
      </c>
      <c r="B11" s="3">
        <v>8920</v>
      </c>
      <c r="C11" s="5">
        <v>7747</v>
      </c>
      <c r="D11" s="3">
        <v>9771</v>
      </c>
      <c r="E11" s="3">
        <v>9542</v>
      </c>
      <c r="F11" s="5">
        <v>10711</v>
      </c>
    </row>
    <row r="12" spans="1:6" x14ac:dyDescent="0.3">
      <c r="A12" s="2" t="s">
        <v>19</v>
      </c>
      <c r="C12" s="5"/>
      <c r="F12" s="5"/>
    </row>
  </sheetData>
  <pageMargins left="0.75" right="0.75" top="1" bottom="1" header="0.5" footer="0.5"/>
  <pageSetup orientation="portrait" horizontalDpi="200" verticalDpi="200" copies="0" r:id="rId1"/>
  <ignoredErrors>
    <ignoredError sqref="B1:F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zoomScale="87" workbookViewId="0">
      <selection activeCell="A11" activeCellId="1" sqref="A1:F1 A11:F11"/>
    </sheetView>
  </sheetViews>
  <sheetFormatPr defaultRowHeight="14.4" x14ac:dyDescent="0.3"/>
  <cols>
    <col min="1" max="1" width="24.77734375" customWidth="1"/>
    <col min="2" max="2" width="11.44140625" customWidth="1"/>
    <col min="3" max="3" width="9.6640625" customWidth="1"/>
    <col min="4" max="4" width="9.21875" customWidth="1"/>
    <col min="5" max="5" width="9.6640625" customWidth="1"/>
    <col min="6" max="6" width="9.44140625" customWidth="1"/>
    <col min="13" max="13" width="19.44140625" customWidth="1"/>
  </cols>
  <sheetData>
    <row r="1" spans="1:14" x14ac:dyDescent="0.3">
      <c r="A1" s="2" t="s">
        <v>104</v>
      </c>
      <c r="B1" s="8" t="s">
        <v>20</v>
      </c>
      <c r="C1" s="8" t="s">
        <v>21</v>
      </c>
      <c r="D1" s="8" t="s">
        <v>22</v>
      </c>
      <c r="E1" s="8" t="s">
        <v>23</v>
      </c>
      <c r="F1" s="8" t="s">
        <v>24</v>
      </c>
    </row>
    <row r="2" spans="1:14" x14ac:dyDescent="0.3">
      <c r="A2" t="s">
        <v>9</v>
      </c>
      <c r="B2" s="15">
        <f>Historical!F2 * (1 + B3)</f>
        <v>48041.700000000004</v>
      </c>
      <c r="C2" s="15">
        <f>B2 * (1 + C3)</f>
        <v>49963.368000000009</v>
      </c>
      <c r="D2" s="15">
        <f>C2 * (1 + D3)</f>
        <v>51712.085880000006</v>
      </c>
      <c r="E2" s="15">
        <f>D2 * (1 + E3)</f>
        <v>53263.448456400009</v>
      </c>
      <c r="F2" s="15">
        <f>E2 * (1 + F3)</f>
        <v>54595.034667810003</v>
      </c>
      <c r="I2" s="9"/>
      <c r="J2" s="12"/>
      <c r="K2" s="9"/>
      <c r="L2" s="10"/>
      <c r="M2" s="9"/>
    </row>
    <row r="3" spans="1:14" x14ac:dyDescent="0.3">
      <c r="A3" t="s">
        <v>25</v>
      </c>
      <c r="B3" s="10">
        <v>0.05</v>
      </c>
      <c r="C3" s="12">
        <v>0.04</v>
      </c>
      <c r="D3" s="10">
        <v>3.5000000000000003E-2</v>
      </c>
      <c r="E3" s="10">
        <v>0.03</v>
      </c>
      <c r="F3" s="10">
        <v>2.5000000000000001E-2</v>
      </c>
      <c r="I3" s="9"/>
      <c r="J3" s="9"/>
      <c r="K3" s="9"/>
      <c r="L3" s="9"/>
      <c r="M3" s="9"/>
      <c r="N3" s="9"/>
    </row>
    <row r="4" spans="1:14" x14ac:dyDescent="0.3">
      <c r="A4" t="s">
        <v>10</v>
      </c>
      <c r="B4" s="16">
        <f xml:space="preserve"> B2 * 0.38</f>
        <v>18255.846000000001</v>
      </c>
      <c r="C4" s="16">
        <f t="shared" ref="C4:F4" si="0" xml:space="preserve"> C2 * 0.38</f>
        <v>18986.079840000002</v>
      </c>
      <c r="D4" s="16">
        <f t="shared" si="0"/>
        <v>19650.592634400004</v>
      </c>
      <c r="E4" s="16">
        <f t="shared" si="0"/>
        <v>20240.110413432005</v>
      </c>
      <c r="F4" s="16">
        <f t="shared" si="0"/>
        <v>20746.113173767801</v>
      </c>
      <c r="I4" s="9"/>
      <c r="J4" s="9"/>
      <c r="K4" s="9"/>
      <c r="L4" s="9"/>
      <c r="M4" s="9" t="s">
        <v>10</v>
      </c>
      <c r="N4" s="9">
        <v>0.38</v>
      </c>
    </row>
    <row r="5" spans="1:14" x14ac:dyDescent="0.3">
      <c r="A5" t="s">
        <v>12</v>
      </c>
      <c r="B5" s="15">
        <f xml:space="preserve"> B2 * 0.35</f>
        <v>16814.595000000001</v>
      </c>
      <c r="C5" s="15">
        <f t="shared" ref="C5:F5" si="1" xml:space="preserve"> C2 * 0.35</f>
        <v>17487.178800000002</v>
      </c>
      <c r="D5" s="15">
        <f t="shared" si="1"/>
        <v>18099.230058000001</v>
      </c>
      <c r="E5" s="15">
        <f t="shared" si="1"/>
        <v>18642.20695974</v>
      </c>
      <c r="F5" s="15">
        <f t="shared" si="1"/>
        <v>19108.2621337335</v>
      </c>
      <c r="M5" t="s">
        <v>73</v>
      </c>
      <c r="N5" s="9">
        <v>0.35</v>
      </c>
    </row>
    <row r="6" spans="1:14" x14ac:dyDescent="0.3">
      <c r="A6" t="s">
        <v>13</v>
      </c>
      <c r="B6" s="15">
        <f xml:space="preserve"> B2 - B4 - B5</f>
        <v>12971.259000000002</v>
      </c>
      <c r="C6" s="15">
        <f t="shared" ref="C6:F6" si="2" xml:space="preserve"> C2 - C4 - C5</f>
        <v>13490.109360000006</v>
      </c>
      <c r="D6" s="15">
        <f t="shared" si="2"/>
        <v>13962.263187600001</v>
      </c>
      <c r="E6" s="15">
        <f t="shared" si="2"/>
        <v>14381.131083228003</v>
      </c>
      <c r="F6" s="15">
        <f t="shared" si="2"/>
        <v>14740.659360308702</v>
      </c>
      <c r="M6" t="s">
        <v>72</v>
      </c>
      <c r="N6" s="9">
        <v>0.35</v>
      </c>
    </row>
    <row r="7" spans="1:14" x14ac:dyDescent="0.3">
      <c r="A7" t="s">
        <v>26</v>
      </c>
      <c r="B7" s="16">
        <f xml:space="preserve"> B6 * 0.21</f>
        <v>2723.9643900000001</v>
      </c>
      <c r="C7" s="16">
        <f t="shared" ref="C7:F7" si="3" xml:space="preserve"> C6 * 0.21</f>
        <v>2832.9229656000011</v>
      </c>
      <c r="D7" s="16">
        <f t="shared" si="3"/>
        <v>2932.0752693960003</v>
      </c>
      <c r="E7" s="16">
        <f t="shared" si="3"/>
        <v>3020.0375274778808</v>
      </c>
      <c r="F7" s="16">
        <f t="shared" si="3"/>
        <v>3095.5384656648275</v>
      </c>
    </row>
    <row r="8" spans="1:14" x14ac:dyDescent="0.3">
      <c r="A8" t="s">
        <v>27</v>
      </c>
      <c r="B8" s="16">
        <f xml:space="preserve"> B2 * 0.03</f>
        <v>1441.251</v>
      </c>
      <c r="C8" s="16">
        <f t="shared" ref="C8:F8" si="4" xml:space="preserve"> C2 * 0.03</f>
        <v>1498.9010400000002</v>
      </c>
      <c r="D8" s="16">
        <f t="shared" si="4"/>
        <v>1551.3625764000001</v>
      </c>
      <c r="E8" s="16">
        <f t="shared" si="4"/>
        <v>1597.9034536920003</v>
      </c>
      <c r="F8" s="16">
        <f t="shared" si="4"/>
        <v>1637.8510400343</v>
      </c>
      <c r="M8" t="s">
        <v>67</v>
      </c>
      <c r="N8" s="9">
        <v>0.21</v>
      </c>
    </row>
    <row r="9" spans="1:14" x14ac:dyDescent="0.3">
      <c r="A9" t="s">
        <v>15</v>
      </c>
      <c r="B9" s="15">
        <f xml:space="preserve"> B2 * 0.035</f>
        <v>1681.4595000000004</v>
      </c>
      <c r="C9" s="15">
        <f t="shared" ref="C9:F9" si="5" xml:space="preserve"> C2 * 0.035</f>
        <v>1748.7178800000006</v>
      </c>
      <c r="D9" s="15">
        <f t="shared" si="5"/>
        <v>1809.9230058000003</v>
      </c>
      <c r="E9" s="15">
        <f t="shared" si="5"/>
        <v>1864.2206959740006</v>
      </c>
      <c r="F9" s="15">
        <f t="shared" si="5"/>
        <v>1910.8262133733504</v>
      </c>
      <c r="M9" t="s">
        <v>74</v>
      </c>
      <c r="N9" s="9">
        <v>0.3</v>
      </c>
    </row>
    <row r="10" spans="1:14" x14ac:dyDescent="0.3">
      <c r="A10" t="s">
        <v>16</v>
      </c>
      <c r="B10" s="15">
        <f xml:space="preserve"> - B2 * 0.01</f>
        <v>-480.41700000000003</v>
      </c>
      <c r="C10" s="15">
        <f t="shared" ref="C10:F10" si="6" xml:space="preserve"> - C2 * 0.01</f>
        <v>-499.63368000000008</v>
      </c>
      <c r="D10" s="15">
        <f t="shared" si="6"/>
        <v>-517.12085880000006</v>
      </c>
      <c r="E10" s="15">
        <f t="shared" si="6"/>
        <v>-532.6344845640001</v>
      </c>
      <c r="F10" s="15">
        <f t="shared" si="6"/>
        <v>-545.9503466781</v>
      </c>
      <c r="G10" s="15"/>
      <c r="M10" t="s">
        <v>75</v>
      </c>
      <c r="N10" s="9">
        <v>0.35</v>
      </c>
    </row>
    <row r="11" spans="1:14" x14ac:dyDescent="0.3">
      <c r="A11" t="s">
        <v>19</v>
      </c>
      <c r="B11">
        <f xml:space="preserve"> B6*(1-0.21) + B8 - B9 - B10</f>
        <v>10487.503110000001</v>
      </c>
      <c r="C11">
        <f t="shared" ref="C11:F11" si="7" xml:space="preserve"> C6*(1-0.21) + C8 - C9 - C10</f>
        <v>10907.003234400006</v>
      </c>
      <c r="D11">
        <f t="shared" si="7"/>
        <v>11288.748347604003</v>
      </c>
      <c r="E11">
        <f t="shared" si="7"/>
        <v>11627.410798032122</v>
      </c>
      <c r="F11">
        <f t="shared" si="7"/>
        <v>11918.096067982926</v>
      </c>
      <c r="G11" s="15"/>
      <c r="M11" t="s">
        <v>76</v>
      </c>
      <c r="N11" s="9">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zoomScale="147" zoomScaleNormal="325" workbookViewId="0">
      <selection activeCell="D13" sqref="D13"/>
    </sheetView>
  </sheetViews>
  <sheetFormatPr defaultRowHeight="14.4" x14ac:dyDescent="0.3"/>
  <cols>
    <col min="1" max="1" width="28.109375" customWidth="1"/>
    <col min="2" max="6" width="11.5546875" bestFit="1" customWidth="1"/>
  </cols>
  <sheetData>
    <row r="1" spans="1:6" x14ac:dyDescent="0.3">
      <c r="A1" s="2" t="s">
        <v>28</v>
      </c>
      <c r="B1" s="19" t="s">
        <v>20</v>
      </c>
      <c r="C1" s="1" t="s">
        <v>21</v>
      </c>
      <c r="D1" s="1" t="s">
        <v>22</v>
      </c>
      <c r="E1" s="1" t="s">
        <v>23</v>
      </c>
      <c r="F1" s="1" t="s">
        <v>24</v>
      </c>
    </row>
    <row r="2" spans="1:6" x14ac:dyDescent="0.3">
      <c r="A2" t="s">
        <v>19</v>
      </c>
      <c r="B2" s="18">
        <f>Projections!B11</f>
        <v>10487.503110000001</v>
      </c>
      <c r="C2" s="18">
        <f>Projections!C11</f>
        <v>10907.003234400006</v>
      </c>
      <c r="D2" s="18">
        <f>Projections!D11</f>
        <v>11288.748347604003</v>
      </c>
      <c r="E2" s="18">
        <f>Projections!E11</f>
        <v>11627.410798032122</v>
      </c>
      <c r="F2" s="18">
        <f>Projections!F11</f>
        <v>11918.096067982926</v>
      </c>
    </row>
    <row r="3" spans="1:6" x14ac:dyDescent="0.3">
      <c r="A3" t="s">
        <v>29</v>
      </c>
      <c r="B3" s="18">
        <f xml:space="preserve"> 1 / (1 + 0.06)^1</f>
        <v>0.94339622641509424</v>
      </c>
      <c r="C3" s="18">
        <f xml:space="preserve"> 1 / (1 + 0.06)^2</f>
        <v>0.88999644001423983</v>
      </c>
      <c r="D3" s="18">
        <f xml:space="preserve"> 1 / (1 + 0.06)^3</f>
        <v>0.8396192830323016</v>
      </c>
      <c r="E3" s="18">
        <f xml:space="preserve"> 1 / (1 + 0.06)^4</f>
        <v>0.79209366323802044</v>
      </c>
      <c r="F3" s="18">
        <f xml:space="preserve"> 1 / (1 + 0.06)^5</f>
        <v>0.74725817286605689</v>
      </c>
    </row>
    <row r="4" spans="1:6" x14ac:dyDescent="0.3">
      <c r="A4" t="s">
        <v>30</v>
      </c>
      <c r="B4" s="18">
        <f xml:space="preserve"> B2 * B3</f>
        <v>9893.8708584905671</v>
      </c>
      <c r="C4" s="18">
        <f t="shared" ref="C4:F4" si="0" xml:space="preserve"> C2 * C3</f>
        <v>9707.1940498398053</v>
      </c>
      <c r="D4" s="18">
        <f t="shared" si="0"/>
        <v>9478.2507939473526</v>
      </c>
      <c r="E4" s="18">
        <f t="shared" si="0"/>
        <v>9209.9984129865788</v>
      </c>
      <c r="F4" s="18">
        <f t="shared" si="0"/>
        <v>8905.8946918030579</v>
      </c>
    </row>
    <row r="5" spans="1:6" x14ac:dyDescent="0.3">
      <c r="A5" t="s">
        <v>31</v>
      </c>
      <c r="B5" s="17"/>
      <c r="F5">
        <f xml:space="preserve"> F2 * (1 + 0.02) / (0.06 - 0.02)</f>
        <v>303911.44973356469</v>
      </c>
    </row>
    <row r="6" spans="1:6" x14ac:dyDescent="0.3">
      <c r="A6" t="s">
        <v>32</v>
      </c>
      <c r="F6">
        <f xml:space="preserve"> F5 * F3</f>
        <v>227100.31464097803</v>
      </c>
    </row>
    <row r="7" spans="1:6" x14ac:dyDescent="0.3">
      <c r="A7" t="s">
        <v>33</v>
      </c>
      <c r="F7">
        <f xml:space="preserve"> SUM(B4:F4) + F6</f>
        <v>274295.52344804537</v>
      </c>
    </row>
    <row r="8" spans="1:6" x14ac:dyDescent="0.3">
      <c r="A8" t="s">
        <v>34</v>
      </c>
      <c r="F8">
        <v>38000</v>
      </c>
    </row>
    <row r="9" spans="1:6" x14ac:dyDescent="0.3">
      <c r="A9" t="s">
        <v>35</v>
      </c>
      <c r="F9">
        <f xml:space="preserve"> F7 - F8</f>
        <v>236295.52344804537</v>
      </c>
    </row>
    <row r="10" spans="1:6" x14ac:dyDescent="0.3">
      <c r="A10" t="s">
        <v>36</v>
      </c>
      <c r="F10">
        <v>4320</v>
      </c>
    </row>
    <row r="11" spans="1:6" x14ac:dyDescent="0.3">
      <c r="A11" t="s">
        <v>37</v>
      </c>
      <c r="F11">
        <f xml:space="preserve"> F9 / F10</f>
        <v>54.698037835195684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election activeCell="B1" sqref="B1:F1"/>
    </sheetView>
  </sheetViews>
  <sheetFormatPr defaultRowHeight="14.4" x14ac:dyDescent="0.3"/>
  <cols>
    <col min="1" max="1" width="23.6640625" customWidth="1"/>
    <col min="2" max="2" width="11.88671875" customWidth="1"/>
    <col min="3" max="3" width="11.21875" customWidth="1"/>
    <col min="4" max="4" width="10.77734375" customWidth="1"/>
    <col min="5" max="5" width="10.33203125" customWidth="1"/>
    <col min="6" max="6" width="10" customWidth="1"/>
  </cols>
  <sheetData>
    <row r="1" spans="1:6" x14ac:dyDescent="0.3">
      <c r="B1" s="1" t="s">
        <v>38</v>
      </c>
      <c r="C1" s="1" t="s">
        <v>39</v>
      </c>
      <c r="D1" s="1" t="s">
        <v>40</v>
      </c>
      <c r="E1" s="1" t="s">
        <v>41</v>
      </c>
      <c r="F1" s="1" t="s">
        <v>42</v>
      </c>
    </row>
    <row r="2" spans="1:6" x14ac:dyDescent="0.3">
      <c r="A2" t="s">
        <v>43</v>
      </c>
    </row>
    <row r="3" spans="1:6" x14ac:dyDescent="0.3">
      <c r="A3" t="s">
        <v>44</v>
      </c>
    </row>
    <row r="4" spans="1:6" x14ac:dyDescent="0.3">
      <c r="A4" t="s">
        <v>45</v>
      </c>
    </row>
    <row r="5" spans="1:6" x14ac:dyDescent="0.3">
      <c r="A5" t="s">
        <v>46</v>
      </c>
    </row>
    <row r="6" spans="1:6" x14ac:dyDescent="0.3">
      <c r="A6" t="s">
        <v>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H8" sqref="H8"/>
    </sheetView>
  </sheetViews>
  <sheetFormatPr defaultRowHeight="14.4" x14ac:dyDescent="0.3"/>
  <cols>
    <col min="1" max="1" width="32.5546875" customWidth="1"/>
    <col min="2" max="2" width="12.77734375" customWidth="1"/>
    <col min="3" max="3" width="19" customWidth="1"/>
    <col min="4" max="4" width="11.77734375" customWidth="1"/>
    <col min="5" max="5" width="16.21875" customWidth="1"/>
    <col min="6" max="6" width="12.5546875" customWidth="1"/>
    <col min="7" max="7" width="14.44140625" customWidth="1"/>
    <col min="8" max="8" width="13.33203125" customWidth="1"/>
  </cols>
  <sheetData>
    <row r="1" spans="1:8" x14ac:dyDescent="0.3">
      <c r="A1" s="1" t="s">
        <v>48</v>
      </c>
      <c r="B1" s="1" t="s">
        <v>49</v>
      </c>
      <c r="C1" s="1" t="s">
        <v>50</v>
      </c>
      <c r="D1" s="1" t="s">
        <v>51</v>
      </c>
      <c r="E1" s="1" t="s">
        <v>9</v>
      </c>
      <c r="F1" s="1" t="s">
        <v>52</v>
      </c>
      <c r="G1" s="1" t="s">
        <v>53</v>
      </c>
      <c r="H1" s="1" t="s">
        <v>54</v>
      </c>
    </row>
    <row r="2" spans="1:8" x14ac:dyDescent="0.3">
      <c r="A2" s="4" t="s">
        <v>84</v>
      </c>
      <c r="B2" s="4" t="s">
        <v>77</v>
      </c>
      <c r="C2" s="5">
        <v>230000</v>
      </c>
      <c r="D2" s="5">
        <v>275000</v>
      </c>
      <c r="E2" s="5">
        <v>91000</v>
      </c>
      <c r="F2" s="5">
        <v>15400</v>
      </c>
      <c r="G2" s="22">
        <v>17.899999999999999</v>
      </c>
      <c r="H2" s="21">
        <v>24</v>
      </c>
    </row>
    <row r="3" spans="1:8" x14ac:dyDescent="0.3">
      <c r="A3" s="4" t="s">
        <v>78</v>
      </c>
      <c r="B3" s="4" t="s">
        <v>79</v>
      </c>
      <c r="C3" s="5">
        <v>46000</v>
      </c>
      <c r="D3" s="5">
        <v>61000</v>
      </c>
      <c r="E3" s="5">
        <v>14800</v>
      </c>
      <c r="F3" s="5">
        <v>4100</v>
      </c>
      <c r="G3" s="22">
        <v>14.9</v>
      </c>
      <c r="H3" s="21">
        <v>19</v>
      </c>
    </row>
    <row r="4" spans="1:8" x14ac:dyDescent="0.3">
      <c r="A4" s="4" t="s">
        <v>80</v>
      </c>
      <c r="B4" s="4" t="s">
        <v>81</v>
      </c>
      <c r="C4" s="5">
        <v>52000</v>
      </c>
      <c r="D4" s="5">
        <v>50000</v>
      </c>
      <c r="E4" s="5">
        <v>7100</v>
      </c>
      <c r="F4" s="5">
        <v>2350</v>
      </c>
      <c r="G4" s="22">
        <v>21.3</v>
      </c>
      <c r="H4" s="21">
        <v>34</v>
      </c>
    </row>
    <row r="5" spans="1:8" x14ac:dyDescent="0.3">
      <c r="A5" s="4" t="s">
        <v>82</v>
      </c>
      <c r="B5" s="4" t="s">
        <v>83</v>
      </c>
      <c r="C5" s="5">
        <v>15000</v>
      </c>
      <c r="D5" s="5">
        <v>14500</v>
      </c>
      <c r="E5" s="5">
        <v>1600</v>
      </c>
      <c r="F5" s="4">
        <v>200</v>
      </c>
      <c r="G5" s="22">
        <v>72.5</v>
      </c>
      <c r="H5" s="21">
        <v>70</v>
      </c>
    </row>
    <row r="6" spans="1:8" x14ac:dyDescent="0.3">
      <c r="A6" s="4" t="s">
        <v>85</v>
      </c>
      <c r="B6" s="4" t="s">
        <v>86</v>
      </c>
      <c r="C6" s="5">
        <v>17000</v>
      </c>
      <c r="D6" s="5">
        <v>20000</v>
      </c>
      <c r="E6" s="5">
        <v>13000</v>
      </c>
      <c r="F6" s="5">
        <v>2350</v>
      </c>
      <c r="G6" s="22">
        <v>8.5</v>
      </c>
      <c r="H6" s="21">
        <v>18</v>
      </c>
    </row>
    <row r="7" spans="1:8" x14ac:dyDescent="0.3">
      <c r="G7" s="15">
        <f>MEDIAN(G2:G6)</f>
        <v>17.899999999999999</v>
      </c>
      <c r="H7">
        <f>MEDIAN(H2:H6)</f>
        <v>24</v>
      </c>
    </row>
    <row r="8" spans="1:8" x14ac:dyDescent="0.3">
      <c r="A8" s="2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7"/>
  <sheetViews>
    <sheetView tabSelected="1" topLeftCell="A38" zoomScale="34" zoomScaleNormal="25" workbookViewId="0">
      <selection activeCell="D85" sqref="D85"/>
    </sheetView>
  </sheetViews>
  <sheetFormatPr defaultRowHeight="14.4" x14ac:dyDescent="0.3"/>
  <cols>
    <col min="1" max="1" width="32.77734375" customWidth="1"/>
    <col min="2" max="2" width="63.77734375" customWidth="1"/>
  </cols>
  <sheetData>
    <row r="1" spans="1:3" x14ac:dyDescent="0.3">
      <c r="A1" s="2" t="s">
        <v>88</v>
      </c>
      <c r="B1" s="24" t="s">
        <v>87</v>
      </c>
    </row>
    <row r="2" spans="1:3" x14ac:dyDescent="0.3">
      <c r="A2" s="2"/>
      <c r="B2" s="23" t="s">
        <v>89</v>
      </c>
      <c r="C2">
        <f>DCF!F7</f>
        <v>274295.52344804537</v>
      </c>
    </row>
    <row r="3" spans="1:3" x14ac:dyDescent="0.3">
      <c r="A3" s="2"/>
      <c r="B3" s="23" t="s">
        <v>101</v>
      </c>
      <c r="C3">
        <f>DCF!F8</f>
        <v>38000</v>
      </c>
    </row>
    <row r="4" spans="1:3" x14ac:dyDescent="0.3">
      <c r="A4" s="2"/>
      <c r="B4" s="23" t="s">
        <v>100</v>
      </c>
      <c r="C4">
        <f>DCF!F9</f>
        <v>236295.52344804537</v>
      </c>
    </row>
    <row r="5" spans="1:3" x14ac:dyDescent="0.3">
      <c r="A5" s="2"/>
      <c r="B5" s="23" t="s">
        <v>99</v>
      </c>
      <c r="C5">
        <f>DCF!F10</f>
        <v>4320</v>
      </c>
    </row>
    <row r="6" spans="1:3" x14ac:dyDescent="0.3">
      <c r="A6" s="2"/>
      <c r="B6" s="23" t="s">
        <v>98</v>
      </c>
      <c r="C6">
        <f>DCF!F11</f>
        <v>54.698037835195684</v>
      </c>
    </row>
    <row r="7" spans="1:3" x14ac:dyDescent="0.3">
      <c r="A7" s="2"/>
      <c r="B7" s="23"/>
    </row>
    <row r="8" spans="1:3" x14ac:dyDescent="0.3">
      <c r="A8" s="2"/>
      <c r="B8" s="24" t="s">
        <v>97</v>
      </c>
    </row>
    <row r="9" spans="1:3" x14ac:dyDescent="0.3">
      <c r="A9" s="2"/>
      <c r="B9" s="23" t="s">
        <v>96</v>
      </c>
      <c r="C9">
        <v>17.899999999999999</v>
      </c>
    </row>
    <row r="10" spans="1:3" x14ac:dyDescent="0.3">
      <c r="A10" s="2"/>
      <c r="B10" s="23" t="s">
        <v>95</v>
      </c>
      <c r="C10">
        <f>13500 * 17.9</f>
        <v>241649.99999999997</v>
      </c>
    </row>
    <row r="11" spans="1:3" x14ac:dyDescent="0.3">
      <c r="A11" s="2"/>
      <c r="B11" s="23" t="s">
        <v>92</v>
      </c>
      <c r="C11">
        <f xml:space="preserve"> C10 - 38000</f>
        <v>203649.99999999997</v>
      </c>
    </row>
    <row r="12" spans="1:3" x14ac:dyDescent="0.3">
      <c r="A12" s="2"/>
      <c r="B12" s="23" t="s">
        <v>94</v>
      </c>
      <c r="C12">
        <f xml:space="preserve"> C11 / 4320</f>
        <v>47.141203703703695</v>
      </c>
    </row>
    <row r="13" spans="1:3" x14ac:dyDescent="0.3">
      <c r="A13" s="2"/>
      <c r="B13" s="23"/>
    </row>
    <row r="14" spans="1:3" x14ac:dyDescent="0.3">
      <c r="A14" s="2"/>
      <c r="B14" s="23" t="s">
        <v>93</v>
      </c>
      <c r="C14">
        <v>24</v>
      </c>
    </row>
    <row r="15" spans="1:3" x14ac:dyDescent="0.3">
      <c r="A15" s="2"/>
      <c r="B15" s="23" t="s">
        <v>92</v>
      </c>
      <c r="C15">
        <f xml:space="preserve"> 10000 * 24</f>
        <v>240000</v>
      </c>
    </row>
    <row r="16" spans="1:3" x14ac:dyDescent="0.3">
      <c r="A16" s="2"/>
      <c r="B16" s="23" t="s">
        <v>91</v>
      </c>
      <c r="C16">
        <f xml:space="preserve"> C15 / 4320</f>
        <v>55.555555555555557</v>
      </c>
    </row>
    <row r="17" spans="1:3" x14ac:dyDescent="0.3">
      <c r="A17" s="2"/>
      <c r="B17" s="23"/>
    </row>
    <row r="18" spans="1:3" x14ac:dyDescent="0.3">
      <c r="A18" s="2"/>
      <c r="B18" s="23" t="s">
        <v>90</v>
      </c>
      <c r="C18">
        <f>AVERAGE( C6, C13, C16 )</f>
        <v>55.126796695375617</v>
      </c>
    </row>
    <row r="19" spans="1:3" x14ac:dyDescent="0.3">
      <c r="A19" s="2"/>
      <c r="B19" s="23"/>
    </row>
    <row r="20" spans="1:3" x14ac:dyDescent="0.3">
      <c r="A20" s="2" t="s">
        <v>55</v>
      </c>
      <c r="B20" s="23"/>
    </row>
    <row r="21" spans="1:3" x14ac:dyDescent="0.3">
      <c r="A21" s="2"/>
      <c r="B21" s="2" t="s">
        <v>102</v>
      </c>
    </row>
    <row r="22" spans="1:3" x14ac:dyDescent="0.3">
      <c r="A22" s="2"/>
      <c r="B22" s="2"/>
    </row>
    <row r="23" spans="1:3" x14ac:dyDescent="0.3">
      <c r="A23" s="2"/>
      <c r="B23" s="2"/>
    </row>
    <row r="37" spans="2:2" x14ac:dyDescent="0.3">
      <c r="B37" t="s">
        <v>103</v>
      </c>
    </row>
    <row r="53" spans="2:3" x14ac:dyDescent="0.3">
      <c r="B53" t="s">
        <v>105</v>
      </c>
    </row>
    <row r="54" spans="2:3" x14ac:dyDescent="0.3">
      <c r="B54" s="2" t="s">
        <v>109</v>
      </c>
      <c r="C54" s="2" t="s">
        <v>1</v>
      </c>
    </row>
    <row r="55" spans="2:3" x14ac:dyDescent="0.3">
      <c r="B55" s="2" t="s">
        <v>108</v>
      </c>
      <c r="C55" s="2">
        <v>54.698</v>
      </c>
    </row>
    <row r="56" spans="2:3" x14ac:dyDescent="0.3">
      <c r="B56" s="2" t="s">
        <v>107</v>
      </c>
      <c r="C56" s="2">
        <v>47.140999999999998</v>
      </c>
    </row>
    <row r="57" spans="2:3" x14ac:dyDescent="0.3">
      <c r="B57" s="2" t="s">
        <v>106</v>
      </c>
      <c r="C57" s="2">
        <v>55.555999999999997</v>
      </c>
    </row>
    <row r="68" spans="2:3" x14ac:dyDescent="0.3">
      <c r="B68" t="s">
        <v>110</v>
      </c>
    </row>
    <row r="69" spans="2:3" x14ac:dyDescent="0.3">
      <c r="B69" t="s">
        <v>111</v>
      </c>
      <c r="C69">
        <f>SUM(DCF!B4:F4)</f>
        <v>47195.208807067356</v>
      </c>
    </row>
    <row r="70" spans="2:3" x14ac:dyDescent="0.3">
      <c r="B70" t="s">
        <v>112</v>
      </c>
      <c r="C70">
        <f>DCF!F6</f>
        <v>227100.31464097803</v>
      </c>
    </row>
    <row r="85" spans="1:2" ht="126.6" customHeight="1" x14ac:dyDescent="0.3">
      <c r="A85" s="25" t="s">
        <v>56</v>
      </c>
      <c r="B85" s="26" t="s">
        <v>113</v>
      </c>
    </row>
    <row r="86" spans="1:2" ht="85.2" customHeight="1" x14ac:dyDescent="0.3">
      <c r="A86" s="25" t="s">
        <v>57</v>
      </c>
      <c r="B86" s="4" t="s">
        <v>114</v>
      </c>
    </row>
    <row r="87" spans="1:2" x14ac:dyDescent="0.3">
      <c r="A87" s="25" t="s">
        <v>58</v>
      </c>
      <c r="B87" s="1" t="s">
        <v>115</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Inputs</vt:lpstr>
      <vt:lpstr>Historical</vt:lpstr>
      <vt:lpstr>Projections</vt:lpstr>
      <vt:lpstr>DCF</vt:lpstr>
      <vt:lpstr>Sensitivity</vt:lpstr>
      <vt:lpstr>Comps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adirajbachhav2021@hotmail.com</cp:lastModifiedBy>
  <dcterms:created xsi:type="dcterms:W3CDTF">2025-11-16T10:49:34Z</dcterms:created>
  <dcterms:modified xsi:type="dcterms:W3CDTF">2025-11-16T14:02:43Z</dcterms:modified>
</cp:coreProperties>
</file>